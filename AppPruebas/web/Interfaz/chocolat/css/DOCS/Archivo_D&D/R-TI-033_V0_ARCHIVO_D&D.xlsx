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Prog.Aprendiz1\Documents\DOCS\Archivo_D&amp;D\"/>
    </mc:Choice>
  </mc:AlternateContent>
  <xr:revisionPtr revIDLastSave="0" documentId="13_ncr:1_{833FDDCD-3531-4F60-9C08-0F3F40BBA1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3" i="1" l="1"/>
  <c r="J23" i="1"/>
  <c r="I23" i="1"/>
  <c r="K23" i="1"/>
  <c r="K37" i="1" l="1"/>
</calcChain>
</file>

<file path=xl/sharedStrings.xml><?xml version="1.0" encoding="utf-8"?>
<sst xmlns="http://schemas.openxmlformats.org/spreadsheetml/2006/main" count="72" uniqueCount="62">
  <si>
    <t>COPIA NO CONTROLADA</t>
  </si>
  <si>
    <t>REGISTRO</t>
  </si>
  <si>
    <t>X</t>
  </si>
  <si>
    <t>Y</t>
  </si>
  <si>
    <t>J</t>
  </si>
  <si>
    <t>REQUERIMIENTOS</t>
  </si>
  <si>
    <t>INCREMENTO</t>
  </si>
  <si>
    <t>VERSIÓN VIGENTE:</t>
  </si>
  <si>
    <t>VERSIÓN FINAL:</t>
  </si>
  <si>
    <t>APROBADO</t>
  </si>
  <si>
    <t>PRESENTADO</t>
  </si>
  <si>
    <t>VERIFICADO</t>
  </si>
  <si>
    <t>#</t>
  </si>
  <si>
    <t>VALIDADO</t>
  </si>
  <si>
    <t>CONTROL DE CAMBIOS E IMPLEMENTACIÓN 
DE APLICATIVOS</t>
  </si>
  <si>
    <t>IMPLEMENTACIÓN</t>
  </si>
  <si>
    <t>CONTROL DE CAMBIOS</t>
  </si>
  <si>
    <t>FECHA Y HORA DE LANZAMIENTO:</t>
  </si>
  <si>
    <t>PROGRAMADOR:</t>
  </si>
  <si>
    <t>NUEVAS ÁREAS:</t>
  </si>
  <si>
    <t xml:space="preserve">PROGRAMADOR </t>
  </si>
  <si>
    <t>IQ/OQ</t>
  </si>
  <si>
    <t>CAPACITACIÓN</t>
  </si>
  <si>
    <t xml:space="preserve">VERSIÓN FINAL: </t>
  </si>
  <si>
    <t>TIPO</t>
  </si>
  <si>
    <t>SOLICITANTE(S)</t>
  </si>
  <si>
    <t>FECHA</t>
  </si>
  <si>
    <t>SOLICITUD</t>
  </si>
  <si>
    <t>EJECUCIÓN</t>
  </si>
  <si>
    <t>ÁREAS USUARIAS</t>
  </si>
  <si>
    <t>NOMBRE APLICACIÓN</t>
  </si>
  <si>
    <t>CODIGO:   
R-TI-033</t>
  </si>
  <si>
    <t>VERSION:
1</t>
  </si>
  <si>
    <t>APROBACIÓN DIRECTOR T.I:</t>
  </si>
  <si>
    <t>RESPONSABLE APP</t>
  </si>
  <si>
    <t>ÁREA</t>
  </si>
  <si>
    <t>NUEVOS ROLES:</t>
  </si>
  <si>
    <t>COBIAN BD:</t>
  </si>
  <si>
    <t>COBIAN ARCHIVOS:</t>
  </si>
  <si>
    <t>EJECUTADO</t>
  </si>
  <si>
    <r>
      <t xml:space="preserve">Convención: T.I: Tecnología de la información, APP: Aplicación                                                                                                                                                                    </t>
    </r>
    <r>
      <rPr>
        <b/>
        <sz val="9"/>
        <color theme="1"/>
        <rFont val="Calibri"/>
        <family val="2"/>
        <scheme val="minor"/>
      </rPr>
      <t>HOJA 1 DE 1</t>
    </r>
  </si>
  <si>
    <t>N/A</t>
  </si>
  <si>
    <t>SI</t>
  </si>
  <si>
    <t>VA</t>
  </si>
  <si>
    <t>ARCHIVO DISEÑO Y DESARROLLO</t>
  </si>
  <si>
    <t>TODAS</t>
  </si>
  <si>
    <t>FABIAN GAONA</t>
  </si>
  <si>
    <r>
      <t xml:space="preserve">OBSERVACIONES: </t>
    </r>
    <r>
      <rPr>
        <sz val="10"/>
        <color theme="1"/>
        <rFont val="Calibri Light"/>
        <family val="2"/>
        <scheme val="major"/>
      </rPr>
      <t>Para ver a detalle las mejoras realizadas, ver R-TI-014 Acta de verificación de cambios.</t>
    </r>
  </si>
  <si>
    <t>2024-06-18 16:00 PM</t>
  </si>
  <si>
    <t>Cambio completo en la interfaz</t>
  </si>
  <si>
    <t>Cambio de logo del aplicativo.</t>
  </si>
  <si>
    <t>Agregar módulo de soporte ligado a REDEAC.</t>
  </si>
  <si>
    <t>Agregar modulo de permisos para validar las acciones que se pueden realizar por cargo.</t>
  </si>
  <si>
    <t>Poder asignar permisos a los cargos</t>
  </si>
  <si>
    <t>Cambio a un nuevo editor con gestor de archivos.</t>
  </si>
  <si>
    <t>Los archivos puestos en el gestor de archivos sean subidos a Nextcloud.</t>
  </si>
  <si>
    <t>Cambiar diseño de los correos que envía el sistema.</t>
  </si>
  <si>
    <t>T.I</t>
  </si>
  <si>
    <t>4.1</t>
  </si>
  <si>
    <t>1.1</t>
  </si>
  <si>
    <t>3.1</t>
  </si>
  <si>
    <r>
      <rPr>
        <b/>
        <sz val="8"/>
        <color theme="1"/>
        <rFont val="Calibri Light"/>
        <family val="2"/>
        <scheme val="major"/>
      </rPr>
      <t>ROLES:</t>
    </r>
    <r>
      <rPr>
        <sz val="8"/>
        <color theme="1"/>
        <rFont val="Calibri Light"/>
        <family val="2"/>
        <scheme val="major"/>
      </rPr>
      <t xml:space="preserve"> </t>
    </r>
    <r>
      <rPr>
        <sz val="10"/>
        <color theme="1"/>
        <rFont val="Calibri Light"/>
        <family val="2"/>
        <scheme val="major"/>
      </rPr>
      <t>Administradores, Coordinadores, Directores, Jefes</t>
    </r>
    <r>
      <rPr>
        <sz val="8"/>
        <color theme="1"/>
        <rFont val="Calibri Light"/>
        <family val="2"/>
        <scheme val="maj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</si>
</sst>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0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4" fillId="0" borderId="1" xfId="0" applyFont="1" applyBorder="1" applyAlignment="1">
      <alignment horizontal="center" vertical="center"/>
    </xf>
    <xf numFmtId="1" fontId="6" fillId="4" borderId="7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textRotation="90"/>
    </xf>
    <xf numFmtId="164" fontId="8" fillId="0" borderId="1" xfId="0" applyNumberFormat="1" applyFont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5" borderId="2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164" fontId="1" fillId="4" borderId="4" xfId="0" applyNumberFormat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4" fillId="5" borderId="2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5" borderId="2" xfId="0" applyFont="1" applyFill="1" applyBorder="1" applyAlignment="1">
      <alignment horizontal="left" wrapText="1"/>
    </xf>
    <xf numFmtId="0" fontId="5" fillId="5" borderId="3" xfId="0" applyFont="1" applyFill="1" applyBorder="1" applyAlignment="1">
      <alignment horizontal="left" wrapText="1"/>
    </xf>
    <xf numFmtId="0" fontId="5" fillId="5" borderId="4" xfId="0" applyFont="1" applyFill="1" applyBorder="1" applyAlignment="1">
      <alignment horizontal="left" wrapText="1"/>
    </xf>
    <xf numFmtId="14" fontId="5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 textRotation="90"/>
    </xf>
    <xf numFmtId="0" fontId="4" fillId="3" borderId="15" xfId="0" applyFont="1" applyFill="1" applyBorder="1" applyAlignment="1">
      <alignment horizontal="center" vertical="center" textRotation="90"/>
    </xf>
    <xf numFmtId="0" fontId="4" fillId="3" borderId="8" xfId="0" applyFont="1" applyFill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</xdr:row>
      <xdr:rowOff>104408</xdr:rowOff>
    </xdr:from>
    <xdr:to>
      <xdr:col>3</xdr:col>
      <xdr:colOff>438149</xdr:colOff>
      <xdr:row>4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58856E-88EE-4593-A2A0-C901E76C1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599" y="294908"/>
          <a:ext cx="1762125" cy="609967"/>
        </a:xfrm>
        <a:prstGeom prst="rect">
          <a:avLst/>
        </a:prstGeom>
      </xdr:spPr>
    </xdr:pic>
    <xdr:clientData/>
  </xdr:twoCellAnchor>
  <xdr:twoCellAnchor>
    <xdr:from>
      <xdr:col>0</xdr:col>
      <xdr:colOff>238125</xdr:colOff>
      <xdr:row>18</xdr:row>
      <xdr:rowOff>9525</xdr:rowOff>
    </xdr:from>
    <xdr:to>
      <xdr:col>14</xdr:col>
      <xdr:colOff>0</xdr:colOff>
      <xdr:row>21</xdr:row>
      <xdr:rowOff>333375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D0E19015-327A-80A9-F086-2E386F9B0707}"/>
            </a:ext>
          </a:extLst>
        </xdr:cNvPr>
        <xdr:cNvCxnSpPr/>
      </xdr:nvCxnSpPr>
      <xdr:spPr>
        <a:xfrm>
          <a:off x="238125" y="4953000"/>
          <a:ext cx="6943725" cy="135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view="pageLayout" topLeftCell="A4" zoomScaleNormal="100" workbookViewId="0">
      <selection activeCell="N13" sqref="N13"/>
    </sheetView>
  </sheetViews>
  <sheetFormatPr baseColWidth="10" defaultRowHeight="15" x14ac:dyDescent="0.25"/>
  <cols>
    <col min="1" max="1" width="3.5703125" customWidth="1"/>
    <col min="3" max="3" width="7.5703125" customWidth="1"/>
    <col min="4" max="4" width="9.42578125" customWidth="1"/>
    <col min="5" max="5" width="12" customWidth="1"/>
    <col min="6" max="6" width="8.140625" customWidth="1"/>
    <col min="7" max="7" width="8" customWidth="1"/>
    <col min="8" max="8" width="7.85546875" customWidth="1"/>
    <col min="9" max="9" width="3.5703125" customWidth="1"/>
    <col min="10" max="10" width="3.28515625" customWidth="1"/>
    <col min="11" max="11" width="3.140625" customWidth="1"/>
    <col min="12" max="12" width="2.85546875" customWidth="1"/>
    <col min="13" max="13" width="9.85546875" customWidth="1"/>
    <col min="14" max="14" width="9.5703125" customWidth="1"/>
  </cols>
  <sheetData>
    <row r="1" spans="1:14" ht="10.5" customHeight="1" x14ac:dyDescent="0.2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x14ac:dyDescent="0.25">
      <c r="A2" s="51"/>
      <c r="B2" s="51"/>
      <c r="C2" s="51"/>
      <c r="D2" s="51"/>
      <c r="E2" s="52" t="s">
        <v>1</v>
      </c>
      <c r="F2" s="52"/>
      <c r="G2" s="52"/>
      <c r="H2" s="52"/>
      <c r="I2" s="52"/>
      <c r="J2" s="51" t="s">
        <v>31</v>
      </c>
      <c r="K2" s="52"/>
      <c r="L2" s="52"/>
      <c r="M2" s="52"/>
      <c r="N2" s="52"/>
    </row>
    <row r="3" spans="1:14" x14ac:dyDescent="0.25">
      <c r="A3" s="51"/>
      <c r="B3" s="51"/>
      <c r="C3" s="51"/>
      <c r="D3" s="51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1:14" ht="15" customHeight="1" x14ac:dyDescent="0.25">
      <c r="A4" s="51"/>
      <c r="B4" s="51"/>
      <c r="C4" s="51"/>
      <c r="D4" s="51"/>
      <c r="E4" s="51" t="s">
        <v>14</v>
      </c>
      <c r="F4" s="51"/>
      <c r="G4" s="51"/>
      <c r="H4" s="51"/>
      <c r="I4" s="51"/>
      <c r="J4" s="51" t="s">
        <v>32</v>
      </c>
      <c r="K4" s="52"/>
      <c r="L4" s="52"/>
      <c r="M4" s="52"/>
      <c r="N4" s="52"/>
    </row>
    <row r="5" spans="1:14" x14ac:dyDescent="0.25">
      <c r="A5" s="51"/>
      <c r="B5" s="51"/>
      <c r="C5" s="51"/>
      <c r="D5" s="51"/>
      <c r="E5" s="51"/>
      <c r="F5" s="51"/>
      <c r="G5" s="51"/>
      <c r="H5" s="51"/>
      <c r="I5" s="51"/>
      <c r="J5" s="52"/>
      <c r="K5" s="52"/>
      <c r="L5" s="52"/>
      <c r="M5" s="52"/>
      <c r="N5" s="52"/>
    </row>
    <row r="6" spans="1:14" ht="15" customHeight="1" x14ac:dyDescent="0.25">
      <c r="A6" s="48" t="s">
        <v>16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50"/>
    </row>
    <row r="7" spans="1:14" ht="28.5" customHeight="1" x14ac:dyDescent="0.25">
      <c r="A7" s="53" t="s">
        <v>30</v>
      </c>
      <c r="B7" s="58"/>
      <c r="C7" s="54"/>
      <c r="D7" s="55" t="s">
        <v>44</v>
      </c>
      <c r="E7" s="56"/>
      <c r="F7" s="57"/>
      <c r="G7" s="53" t="s">
        <v>29</v>
      </c>
      <c r="H7" s="54"/>
      <c r="I7" s="55" t="s">
        <v>45</v>
      </c>
      <c r="J7" s="56"/>
      <c r="K7" s="56"/>
      <c r="L7" s="56"/>
      <c r="M7" s="56"/>
      <c r="N7" s="57"/>
    </row>
    <row r="8" spans="1:14" ht="15" customHeight="1" x14ac:dyDescent="0.25">
      <c r="A8" s="65" t="s">
        <v>61</v>
      </c>
      <c r="B8" s="66"/>
      <c r="C8" s="66"/>
      <c r="D8" s="66"/>
      <c r="E8" s="66"/>
      <c r="F8" s="61" t="s">
        <v>7</v>
      </c>
      <c r="G8" s="63"/>
      <c r="H8" s="5" t="s">
        <v>43</v>
      </c>
      <c r="I8" s="3">
        <v>8</v>
      </c>
      <c r="J8" s="3">
        <v>75</v>
      </c>
      <c r="K8" s="3">
        <v>31</v>
      </c>
      <c r="L8" s="101" t="s">
        <v>35</v>
      </c>
      <c r="M8" s="59" t="s">
        <v>26</v>
      </c>
      <c r="N8" s="60"/>
    </row>
    <row r="9" spans="1:14" ht="15" customHeight="1" x14ac:dyDescent="0.25">
      <c r="A9" s="45" t="s">
        <v>12</v>
      </c>
      <c r="B9" s="67" t="s">
        <v>5</v>
      </c>
      <c r="C9" s="68"/>
      <c r="D9" s="68"/>
      <c r="E9" s="68"/>
      <c r="F9" s="68"/>
      <c r="G9" s="68"/>
      <c r="H9" s="69"/>
      <c r="I9" s="42" t="s">
        <v>6</v>
      </c>
      <c r="J9" s="43"/>
      <c r="K9" s="44"/>
      <c r="L9" s="102"/>
      <c r="M9" s="45" t="s">
        <v>27</v>
      </c>
      <c r="N9" s="45" t="s">
        <v>28</v>
      </c>
    </row>
    <row r="10" spans="1:14" x14ac:dyDescent="0.25">
      <c r="A10" s="46"/>
      <c r="B10" s="70"/>
      <c r="C10" s="71"/>
      <c r="D10" s="71"/>
      <c r="E10" s="71"/>
      <c r="F10" s="71"/>
      <c r="G10" s="71"/>
      <c r="H10" s="72"/>
      <c r="I10" s="6" t="s">
        <v>2</v>
      </c>
      <c r="J10" s="6" t="s">
        <v>3</v>
      </c>
      <c r="K10" s="6" t="s">
        <v>4</v>
      </c>
      <c r="L10" s="103"/>
      <c r="M10" s="46"/>
      <c r="N10" s="46"/>
    </row>
    <row r="11" spans="1:14" ht="27" customHeight="1" x14ac:dyDescent="0.25">
      <c r="A11" s="1">
        <v>1</v>
      </c>
      <c r="B11" s="73" t="s">
        <v>49</v>
      </c>
      <c r="C11" s="74"/>
      <c r="D11" s="74"/>
      <c r="E11" s="74"/>
      <c r="F11" s="74"/>
      <c r="G11" s="74"/>
      <c r="H11" s="75"/>
      <c r="I11" s="3"/>
      <c r="J11" s="3"/>
      <c r="K11" s="3">
        <v>1</v>
      </c>
      <c r="L11" s="7" t="s">
        <v>57</v>
      </c>
      <c r="M11" s="8">
        <v>45448</v>
      </c>
      <c r="N11" s="9">
        <v>45566</v>
      </c>
    </row>
    <row r="12" spans="1:14" ht="27" customHeight="1" x14ac:dyDescent="0.25">
      <c r="A12" s="1" t="s">
        <v>59</v>
      </c>
      <c r="B12" s="73" t="s">
        <v>50</v>
      </c>
      <c r="C12" s="74"/>
      <c r="D12" s="74"/>
      <c r="E12" s="74"/>
      <c r="F12" s="74"/>
      <c r="G12" s="74"/>
      <c r="H12" s="75"/>
      <c r="I12" s="3"/>
      <c r="J12" s="3"/>
      <c r="K12" s="3">
        <v>1</v>
      </c>
      <c r="L12" s="7" t="s">
        <v>57</v>
      </c>
      <c r="M12" s="8">
        <v>45555</v>
      </c>
      <c r="N12" s="9">
        <v>45558</v>
      </c>
    </row>
    <row r="13" spans="1:14" ht="27" customHeight="1" x14ac:dyDescent="0.25">
      <c r="A13" s="1">
        <v>2</v>
      </c>
      <c r="B13" s="73" t="s">
        <v>51</v>
      </c>
      <c r="C13" s="76"/>
      <c r="D13" s="76"/>
      <c r="E13" s="76"/>
      <c r="F13" s="76"/>
      <c r="G13" s="76"/>
      <c r="H13" s="77"/>
      <c r="I13" s="3">
        <v>1</v>
      </c>
      <c r="J13" s="3"/>
      <c r="K13" s="3">
        <v>1</v>
      </c>
      <c r="L13" s="7" t="s">
        <v>57</v>
      </c>
      <c r="M13" s="8">
        <v>45545</v>
      </c>
      <c r="N13" s="9">
        <v>45545</v>
      </c>
    </row>
    <row r="14" spans="1:14" ht="27" customHeight="1" x14ac:dyDescent="0.25">
      <c r="A14" s="1">
        <v>3</v>
      </c>
      <c r="B14" s="73" t="s">
        <v>52</v>
      </c>
      <c r="C14" s="74"/>
      <c r="D14" s="74"/>
      <c r="E14" s="74"/>
      <c r="F14" s="74"/>
      <c r="G14" s="74"/>
      <c r="H14" s="75"/>
      <c r="I14" s="3">
        <v>1</v>
      </c>
      <c r="J14" s="3"/>
      <c r="K14" s="3">
        <v>1</v>
      </c>
      <c r="L14" s="7" t="s">
        <v>57</v>
      </c>
      <c r="M14" s="8">
        <v>45544</v>
      </c>
      <c r="N14" s="9">
        <v>45544</v>
      </c>
    </row>
    <row r="15" spans="1:14" ht="27" customHeight="1" x14ac:dyDescent="0.25">
      <c r="A15" s="1" t="s">
        <v>60</v>
      </c>
      <c r="B15" s="73" t="s">
        <v>53</v>
      </c>
      <c r="C15" s="74"/>
      <c r="D15" s="74"/>
      <c r="E15" s="74"/>
      <c r="F15" s="74"/>
      <c r="G15" s="74"/>
      <c r="H15" s="75"/>
      <c r="I15" s="3">
        <v>1</v>
      </c>
      <c r="J15" s="3"/>
      <c r="K15" s="3">
        <v>1</v>
      </c>
      <c r="L15" s="7" t="s">
        <v>57</v>
      </c>
      <c r="M15" s="8">
        <v>45546</v>
      </c>
      <c r="N15" s="9">
        <v>45547</v>
      </c>
    </row>
    <row r="16" spans="1:14" ht="27" customHeight="1" x14ac:dyDescent="0.25">
      <c r="A16" s="1">
        <v>4</v>
      </c>
      <c r="B16" s="73" t="s">
        <v>54</v>
      </c>
      <c r="C16" s="74"/>
      <c r="D16" s="74"/>
      <c r="E16" s="74"/>
      <c r="F16" s="74"/>
      <c r="G16" s="74"/>
      <c r="H16" s="75"/>
      <c r="I16" s="3">
        <v>1</v>
      </c>
      <c r="J16" s="3"/>
      <c r="K16" s="3">
        <v>1</v>
      </c>
      <c r="L16" s="7" t="s">
        <v>57</v>
      </c>
      <c r="M16" s="8">
        <v>45551</v>
      </c>
      <c r="N16" s="9">
        <v>45566</v>
      </c>
    </row>
    <row r="17" spans="1:14" ht="27" customHeight="1" x14ac:dyDescent="0.25">
      <c r="A17" s="1" t="s">
        <v>58</v>
      </c>
      <c r="B17" s="73" t="s">
        <v>55</v>
      </c>
      <c r="C17" s="74"/>
      <c r="D17" s="74"/>
      <c r="E17" s="74"/>
      <c r="F17" s="74"/>
      <c r="G17" s="74"/>
      <c r="H17" s="75"/>
      <c r="I17" s="3"/>
      <c r="J17" s="3">
        <v>1</v>
      </c>
      <c r="K17" s="3"/>
      <c r="L17" s="7" t="s">
        <v>57</v>
      </c>
      <c r="M17" s="8">
        <v>45492</v>
      </c>
      <c r="N17" s="9">
        <v>45496</v>
      </c>
    </row>
    <row r="18" spans="1:14" ht="27" customHeight="1" x14ac:dyDescent="0.25">
      <c r="A18" s="1">
        <v>5</v>
      </c>
      <c r="B18" s="79" t="s">
        <v>56</v>
      </c>
      <c r="C18" s="80"/>
      <c r="D18" s="80"/>
      <c r="E18" s="80"/>
      <c r="F18" s="80"/>
      <c r="G18" s="80"/>
      <c r="H18" s="81"/>
      <c r="I18" s="3"/>
      <c r="J18" s="3"/>
      <c r="K18" s="3">
        <v>1</v>
      </c>
      <c r="L18" s="7" t="s">
        <v>57</v>
      </c>
      <c r="M18" s="8">
        <v>45560</v>
      </c>
      <c r="N18" s="9">
        <v>45566</v>
      </c>
    </row>
    <row r="19" spans="1:14" ht="27" customHeight="1" x14ac:dyDescent="0.25">
      <c r="A19" s="1">
        <v>6</v>
      </c>
      <c r="B19" s="79"/>
      <c r="C19" s="80"/>
      <c r="D19" s="80"/>
      <c r="E19" s="80"/>
      <c r="F19" s="80"/>
      <c r="G19" s="80"/>
      <c r="H19" s="81"/>
      <c r="I19" s="3"/>
      <c r="J19" s="3"/>
      <c r="K19" s="3"/>
      <c r="L19" s="7"/>
      <c r="M19" s="8"/>
      <c r="N19" s="9"/>
    </row>
    <row r="20" spans="1:14" ht="27" customHeight="1" x14ac:dyDescent="0.25">
      <c r="A20" s="1">
        <v>7</v>
      </c>
      <c r="B20" s="79"/>
      <c r="C20" s="80"/>
      <c r="D20" s="80"/>
      <c r="E20" s="80"/>
      <c r="F20" s="80"/>
      <c r="G20" s="80"/>
      <c r="H20" s="81"/>
      <c r="I20" s="3"/>
      <c r="J20" s="3"/>
      <c r="K20" s="3"/>
      <c r="L20" s="7"/>
      <c r="M20" s="8"/>
      <c r="N20" s="9"/>
    </row>
    <row r="21" spans="1:14" ht="27" customHeight="1" x14ac:dyDescent="0.25">
      <c r="A21" s="1">
        <v>8</v>
      </c>
      <c r="B21" s="79"/>
      <c r="C21" s="80"/>
      <c r="D21" s="80"/>
      <c r="E21" s="80"/>
      <c r="F21" s="80"/>
      <c r="G21" s="80"/>
      <c r="H21" s="81"/>
      <c r="I21" s="3"/>
      <c r="J21" s="3"/>
      <c r="K21" s="3"/>
      <c r="L21" s="7"/>
      <c r="M21" s="8"/>
      <c r="N21" s="9"/>
    </row>
    <row r="22" spans="1:14" ht="27" customHeight="1" x14ac:dyDescent="0.25">
      <c r="A22" s="1">
        <v>9</v>
      </c>
      <c r="B22" s="79"/>
      <c r="C22" s="80"/>
      <c r="D22" s="80"/>
      <c r="E22" s="80"/>
      <c r="F22" s="80"/>
      <c r="G22" s="80"/>
      <c r="H22" s="81"/>
      <c r="I22" s="3"/>
      <c r="J22" s="3"/>
      <c r="K22" s="3"/>
      <c r="L22" s="7"/>
      <c r="M22" s="8"/>
      <c r="N22" s="9"/>
    </row>
    <row r="23" spans="1:14" ht="18.75" customHeight="1" x14ac:dyDescent="0.25">
      <c r="A23" s="61" t="s">
        <v>20</v>
      </c>
      <c r="B23" s="62"/>
      <c r="C23" s="63"/>
      <c r="D23" s="37" t="s">
        <v>46</v>
      </c>
      <c r="E23" s="37"/>
      <c r="F23" s="64"/>
      <c r="G23" s="61" t="s">
        <v>8</v>
      </c>
      <c r="H23" s="63"/>
      <c r="I23" s="2">
        <f>I8+SUM(I11:I22)</f>
        <v>12</v>
      </c>
      <c r="J23" s="2">
        <f>J8+SUM(J11:J22)</f>
        <v>76</v>
      </c>
      <c r="K23" s="2">
        <f>K8+SUM(K11:K22)</f>
        <v>38</v>
      </c>
      <c r="L23" s="61" t="s">
        <v>24</v>
      </c>
      <c r="M23" s="63"/>
      <c r="N23" s="4" t="str">
        <f>H8</f>
        <v>VA</v>
      </c>
    </row>
    <row r="24" spans="1:14" x14ac:dyDescent="0.25">
      <c r="A24" s="104" t="s">
        <v>25</v>
      </c>
      <c r="B24" s="104"/>
      <c r="C24" s="104"/>
      <c r="D24" s="104"/>
      <c r="E24" s="104" t="s">
        <v>9</v>
      </c>
      <c r="F24" s="104"/>
      <c r="G24" s="10" t="s">
        <v>39</v>
      </c>
      <c r="H24" s="11"/>
      <c r="I24" s="11"/>
      <c r="J24" s="11"/>
      <c r="K24" s="12"/>
      <c r="L24" s="10" t="s">
        <v>34</v>
      </c>
      <c r="M24" s="11"/>
      <c r="N24" s="12"/>
    </row>
    <row r="25" spans="1:14" x14ac:dyDescent="0.25">
      <c r="A25" s="105"/>
      <c r="B25" s="105"/>
      <c r="C25" s="105"/>
      <c r="D25" s="105"/>
      <c r="E25" s="105"/>
      <c r="F25" s="105"/>
      <c r="G25" s="13"/>
      <c r="H25" s="14"/>
      <c r="I25" s="14"/>
      <c r="J25" s="14"/>
      <c r="K25" s="15"/>
      <c r="L25" s="13"/>
      <c r="M25" s="14"/>
      <c r="N25" s="15"/>
    </row>
    <row r="26" spans="1:14" x14ac:dyDescent="0.25">
      <c r="A26" s="105"/>
      <c r="B26" s="105"/>
      <c r="C26" s="105"/>
      <c r="D26" s="105"/>
      <c r="E26" s="105"/>
      <c r="F26" s="105"/>
      <c r="G26" s="16"/>
      <c r="H26" s="17"/>
      <c r="I26" s="17"/>
      <c r="J26" s="17"/>
      <c r="K26" s="18"/>
      <c r="L26" s="16"/>
      <c r="M26" s="17"/>
      <c r="N26" s="18"/>
    </row>
    <row r="27" spans="1:14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</row>
    <row r="28" spans="1:14" x14ac:dyDescent="0.25">
      <c r="A28" s="10" t="s">
        <v>15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2"/>
    </row>
    <row r="29" spans="1:14" x14ac:dyDescent="0.25">
      <c r="A29" s="39" t="s">
        <v>10</v>
      </c>
      <c r="B29" s="40"/>
      <c r="C29" s="41"/>
      <c r="D29" s="39" t="s">
        <v>11</v>
      </c>
      <c r="E29" s="41"/>
      <c r="F29" s="100" t="s">
        <v>21</v>
      </c>
      <c r="G29" s="100"/>
      <c r="H29" s="34" t="s">
        <v>13</v>
      </c>
      <c r="I29" s="35"/>
      <c r="J29" s="36"/>
      <c r="K29" s="39" t="s">
        <v>22</v>
      </c>
      <c r="L29" s="40"/>
      <c r="M29" s="40"/>
      <c r="N29" s="41"/>
    </row>
    <row r="30" spans="1:14" x14ac:dyDescent="0.25">
      <c r="A30" s="31">
        <v>45461</v>
      </c>
      <c r="B30" s="32"/>
      <c r="C30" s="33"/>
      <c r="D30" s="31">
        <v>45457</v>
      </c>
      <c r="E30" s="33"/>
      <c r="F30" s="31" t="s">
        <v>41</v>
      </c>
      <c r="G30" s="33"/>
      <c r="H30" s="106">
        <v>45457</v>
      </c>
      <c r="I30" s="106"/>
      <c r="J30" s="106"/>
      <c r="K30" s="31">
        <v>45461</v>
      </c>
      <c r="L30" s="32"/>
      <c r="M30" s="32"/>
      <c r="N30" s="33"/>
    </row>
    <row r="31" spans="1:14" ht="17.25" customHeight="1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</row>
    <row r="32" spans="1:14" x14ac:dyDescent="0.25">
      <c r="A32" s="94" t="s">
        <v>47</v>
      </c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6"/>
    </row>
    <row r="33" spans="1:14" x14ac:dyDescent="0.25">
      <c r="A33" s="94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6"/>
    </row>
    <row r="34" spans="1:14" x14ac:dyDescent="0.25">
      <c r="A34" s="94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6"/>
    </row>
    <row r="35" spans="1:14" x14ac:dyDescent="0.2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8"/>
    </row>
    <row r="36" spans="1:14" ht="15.75" customHeight="1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</row>
    <row r="37" spans="1:14" ht="15" customHeight="1" x14ac:dyDescent="0.25">
      <c r="A37" s="86" t="s">
        <v>17</v>
      </c>
      <c r="B37" s="87"/>
      <c r="C37" s="87"/>
      <c r="D37" s="88"/>
      <c r="E37" s="89" t="s">
        <v>48</v>
      </c>
      <c r="F37" s="90"/>
      <c r="G37" s="91"/>
      <c r="H37" s="97" t="s">
        <v>23</v>
      </c>
      <c r="I37" s="98"/>
      <c r="J37" s="99"/>
      <c r="K37" s="92" t="str">
        <f>CONCATENATE(N23," ",I23,".",J23,".",K23)</f>
        <v>VA 12.76.38</v>
      </c>
      <c r="L37" s="92"/>
      <c r="M37" s="92"/>
      <c r="N37" s="93"/>
    </row>
    <row r="38" spans="1:14" x14ac:dyDescent="0.25">
      <c r="A38" s="82" t="s">
        <v>36</v>
      </c>
      <c r="B38" s="83"/>
      <c r="C38" s="84" t="s">
        <v>41</v>
      </c>
      <c r="D38" s="84"/>
      <c r="E38" s="84"/>
      <c r="F38" s="84"/>
      <c r="G38" s="85"/>
      <c r="H38" s="39" t="s">
        <v>19</v>
      </c>
      <c r="I38" s="40"/>
      <c r="J38" s="41"/>
      <c r="K38" s="38" t="s">
        <v>41</v>
      </c>
      <c r="L38" s="38"/>
      <c r="M38" s="38"/>
      <c r="N38" s="30"/>
    </row>
    <row r="39" spans="1:14" x14ac:dyDescent="0.25">
      <c r="A39" s="21" t="s">
        <v>37</v>
      </c>
      <c r="B39" s="22"/>
      <c r="C39" s="29" t="s">
        <v>42</v>
      </c>
      <c r="D39" s="30"/>
      <c r="E39" s="23" t="s">
        <v>18</v>
      </c>
      <c r="F39" s="24"/>
      <c r="G39" s="24"/>
      <c r="H39" s="25"/>
      <c r="I39" s="23" t="s">
        <v>33</v>
      </c>
      <c r="J39" s="24"/>
      <c r="K39" s="24"/>
      <c r="L39" s="24"/>
      <c r="M39" s="24"/>
      <c r="N39" s="25"/>
    </row>
    <row r="40" spans="1:14" x14ac:dyDescent="0.25">
      <c r="A40" s="19" t="s">
        <v>38</v>
      </c>
      <c r="B40" s="20"/>
      <c r="C40" s="29" t="s">
        <v>42</v>
      </c>
      <c r="D40" s="30"/>
      <c r="E40" s="26"/>
      <c r="F40" s="27"/>
      <c r="G40" s="27"/>
      <c r="H40" s="28"/>
      <c r="I40" s="26"/>
      <c r="J40" s="27"/>
      <c r="K40" s="27"/>
      <c r="L40" s="27"/>
      <c r="M40" s="27"/>
      <c r="N40" s="28"/>
    </row>
    <row r="41" spans="1:14" x14ac:dyDescent="0.25">
      <c r="A41" s="78" t="s">
        <v>40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</row>
  </sheetData>
  <mergeCells count="74">
    <mergeCell ref="H37:J37"/>
    <mergeCell ref="B21:H21"/>
    <mergeCell ref="D29:E29"/>
    <mergeCell ref="F29:G29"/>
    <mergeCell ref="L8:L10"/>
    <mergeCell ref="B18:H18"/>
    <mergeCell ref="B11:H11"/>
    <mergeCell ref="B12:H12"/>
    <mergeCell ref="A24:D24"/>
    <mergeCell ref="A25:D26"/>
    <mergeCell ref="E24:F24"/>
    <mergeCell ref="E25:F26"/>
    <mergeCell ref="F30:G30"/>
    <mergeCell ref="D30:E30"/>
    <mergeCell ref="H30:J30"/>
    <mergeCell ref="G23:H23"/>
    <mergeCell ref="A41:N41"/>
    <mergeCell ref="B19:H19"/>
    <mergeCell ref="B20:H20"/>
    <mergeCell ref="H38:J38"/>
    <mergeCell ref="K38:N38"/>
    <mergeCell ref="A38:B38"/>
    <mergeCell ref="C38:G38"/>
    <mergeCell ref="A37:D37"/>
    <mergeCell ref="E37:G37"/>
    <mergeCell ref="K37:N37"/>
    <mergeCell ref="A32:N35"/>
    <mergeCell ref="A31:N31"/>
    <mergeCell ref="G24:K24"/>
    <mergeCell ref="B22:H22"/>
    <mergeCell ref="A30:C30"/>
    <mergeCell ref="L23:M23"/>
    <mergeCell ref="A23:C23"/>
    <mergeCell ref="D23:F23"/>
    <mergeCell ref="F8:G8"/>
    <mergeCell ref="A8:E8"/>
    <mergeCell ref="B9:H10"/>
    <mergeCell ref="B16:H16"/>
    <mergeCell ref="B13:H13"/>
    <mergeCell ref="B14:H14"/>
    <mergeCell ref="B17:H17"/>
    <mergeCell ref="B15:H15"/>
    <mergeCell ref="I9:K9"/>
    <mergeCell ref="A9:A10"/>
    <mergeCell ref="A1:N1"/>
    <mergeCell ref="A6:N6"/>
    <mergeCell ref="J2:N3"/>
    <mergeCell ref="J4:N5"/>
    <mergeCell ref="E2:I3"/>
    <mergeCell ref="E4:I5"/>
    <mergeCell ref="A2:D5"/>
    <mergeCell ref="G7:H7"/>
    <mergeCell ref="I7:N7"/>
    <mergeCell ref="D7:F7"/>
    <mergeCell ref="A7:C7"/>
    <mergeCell ref="M8:N8"/>
    <mergeCell ref="M9:M10"/>
    <mergeCell ref="N9:N10"/>
    <mergeCell ref="L24:N24"/>
    <mergeCell ref="L25:N26"/>
    <mergeCell ref="A40:B40"/>
    <mergeCell ref="A39:B39"/>
    <mergeCell ref="I39:N40"/>
    <mergeCell ref="E39:H40"/>
    <mergeCell ref="C40:D40"/>
    <mergeCell ref="C39:D39"/>
    <mergeCell ref="A28:N28"/>
    <mergeCell ref="K30:N30"/>
    <mergeCell ref="H29:J29"/>
    <mergeCell ref="A27:N27"/>
    <mergeCell ref="A36:N36"/>
    <mergeCell ref="K29:N29"/>
    <mergeCell ref="A29:C29"/>
    <mergeCell ref="G25:K26"/>
  </mergeCells>
  <pageMargins left="0.19685039370078741" right="0.19685039370078741" top="0.19685039370078741" bottom="0.19685039370078741" header="0.19685039370078741" footer="0.51181102362204722"/>
  <pageSetup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 Sena</dc:creator>
  <cp:lastModifiedBy>Aprendiz TI. programador</cp:lastModifiedBy>
  <cp:lastPrinted>2024-06-18T12:57:14Z</cp:lastPrinted>
  <dcterms:created xsi:type="dcterms:W3CDTF">2018-09-06T21:53:02Z</dcterms:created>
  <dcterms:modified xsi:type="dcterms:W3CDTF">2024-10-11T17:49:01Z</dcterms:modified>
</cp:coreProperties>
</file>